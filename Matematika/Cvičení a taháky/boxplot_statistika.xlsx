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dpl\Desktop\MRDKY\.škola\matika\"/>
    </mc:Choice>
  </mc:AlternateContent>
  <xr:revisionPtr revIDLastSave="0" documentId="13_ncr:1_{D59A1015-7427-4C00-9C17-D0211C305FFC}" xr6:coauthVersionLast="47" xr6:coauthVersionMax="47" xr10:uidLastSave="{00000000-0000-0000-0000-000000000000}"/>
  <bookViews>
    <workbookView xWindow="-98" yWindow="-98" windowWidth="21795" windowHeight="13695" xr2:uid="{D796973F-4E50-4954-B962-03DBBCFDF4C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7" i="1" l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S26" i="1" s="1"/>
  <c r="AC20" i="1"/>
  <c r="T25" i="1" s="1"/>
  <c r="AC19" i="1"/>
  <c r="T24" i="1" s="1"/>
  <c r="AC18" i="1"/>
  <c r="AC17" i="1"/>
  <c r="T22" i="1" s="1"/>
  <c r="AC16" i="1"/>
  <c r="AC15" i="1"/>
  <c r="T20" i="1" s="1"/>
  <c r="AC14" i="1"/>
  <c r="T19" i="1" s="1"/>
  <c r="AC13" i="1"/>
  <c r="T18" i="1" s="1"/>
  <c r="AC12" i="1"/>
  <c r="T17" i="1" s="1"/>
  <c r="S23" i="1"/>
  <c r="S21" i="1"/>
  <c r="AC11" i="1"/>
  <c r="T16" i="1" s="1"/>
  <c r="AC10" i="1"/>
  <c r="T15" i="1"/>
  <c r="T23" i="1"/>
  <c r="T14" i="1"/>
  <c r="S15" i="1"/>
  <c r="S14" i="1"/>
  <c r="AC9" i="1"/>
  <c r="M5" i="1"/>
  <c r="M4" i="1"/>
  <c r="J5" i="1"/>
  <c r="J4" i="1"/>
  <c r="G18" i="1"/>
  <c r="G17" i="1"/>
  <c r="G27" i="1"/>
  <c r="G26" i="1"/>
  <c r="G25" i="1"/>
  <c r="G24" i="1"/>
  <c r="G23" i="1"/>
  <c r="G22" i="1"/>
  <c r="G21" i="1"/>
  <c r="G20" i="1"/>
  <c r="G19" i="1"/>
  <c r="G16" i="1"/>
  <c r="G13" i="1"/>
  <c r="G12" i="1"/>
  <c r="G15" i="1"/>
  <c r="G14" i="1"/>
  <c r="G11" i="1"/>
  <c r="G10" i="1"/>
  <c r="G9" i="1"/>
  <c r="G8" i="1"/>
  <c r="G7" i="1"/>
  <c r="G6" i="1"/>
  <c r="G5" i="1"/>
  <c r="G4" i="1"/>
  <c r="C18" i="1"/>
  <c r="D18" i="1"/>
  <c r="B18" i="1"/>
  <c r="C17" i="1"/>
  <c r="D17" i="1"/>
  <c r="B17" i="1"/>
  <c r="C16" i="1"/>
  <c r="D16" i="1"/>
  <c r="B16" i="1"/>
  <c r="T26" i="1" l="1"/>
  <c r="S22" i="1"/>
  <c r="S20" i="1"/>
  <c r="S18" i="1"/>
  <c r="S25" i="1"/>
  <c r="S24" i="1"/>
  <c r="T21" i="1"/>
  <c r="S19" i="1"/>
  <c r="S17" i="1"/>
  <c r="S16" i="1"/>
</calcChain>
</file>

<file path=xl/sharedStrings.xml><?xml version="1.0" encoding="utf-8"?>
<sst xmlns="http://schemas.openxmlformats.org/spreadsheetml/2006/main" count="33" uniqueCount="27">
  <si>
    <t>Potravina</t>
  </si>
  <si>
    <t>Bílkoviny</t>
  </si>
  <si>
    <t>Tuky</t>
  </si>
  <si>
    <t>Sacharidy</t>
  </si>
  <si>
    <t>Vlašské ořechy</t>
  </si>
  <si>
    <t>Kešu ořechy</t>
  </si>
  <si>
    <t>Lískové ořechy</t>
  </si>
  <si>
    <t>Pistácie</t>
  </si>
  <si>
    <t>Mandle</t>
  </si>
  <si>
    <t>Makadamové</t>
  </si>
  <si>
    <t>Pekanové ořechy</t>
  </si>
  <si>
    <t>Piniové ořechy</t>
  </si>
  <si>
    <t>Slunečnicová semínka</t>
  </si>
  <si>
    <t>Konopná semínka</t>
  </si>
  <si>
    <t>Dýňová semínka</t>
  </si>
  <si>
    <t>Chia semínka</t>
  </si>
  <si>
    <t>Sezamová semínka</t>
  </si>
  <si>
    <t>Lněná semínka</t>
  </si>
  <si>
    <t>průměr arimtmetický</t>
  </si>
  <si>
    <t>průměr geometrický</t>
  </si>
  <si>
    <t>průměr harmonický</t>
  </si>
  <si>
    <t>x</t>
  </si>
  <si>
    <t>y</t>
  </si>
  <si>
    <t>r=1,5</t>
  </si>
  <si>
    <t>0, 8,5</t>
  </si>
  <si>
    <t>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</si>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</sst>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 g&quot;"/>
    <numFmt numFmtId="165" formatCode="0.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0" xfId="0" applyNumberFormat="1"/>
    <xf numFmtId="164" fontId="0" fillId="0" borderId="0" xfId="0" applyNumberFormat="1" applyAlignment="1">
      <alignment vertical="center"/>
    </xf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List1!$G$4:$G$27</c:f>
              <c:numCache>
                <c:formatCode>General\ " g"</c:formatCode>
                <c:ptCount val="24"/>
                <c:pt idx="0" formatCode="General">
                  <c:v>-3</c:v>
                </c:pt>
                <c:pt idx="1">
                  <c:v>-3</c:v>
                </c:pt>
                <c:pt idx="2">
                  <c:v>6.375</c:v>
                </c:pt>
                <c:pt idx="3">
                  <c:v>6.375</c:v>
                </c:pt>
                <c:pt idx="4">
                  <c:v>6.375</c:v>
                </c:pt>
                <c:pt idx="5">
                  <c:v>6.375</c:v>
                </c:pt>
                <c:pt idx="6" formatCode="General">
                  <c:v>15.75</c:v>
                </c:pt>
                <c:pt idx="7" formatCode="General">
                  <c:v>15.75</c:v>
                </c:pt>
                <c:pt idx="8" formatCode="General">
                  <c:v>22</c:v>
                </c:pt>
                <c:pt idx="9" formatCode="General">
                  <c:v>22</c:v>
                </c:pt>
                <c:pt idx="10" formatCode="General">
                  <c:v>15.75</c:v>
                </c:pt>
                <c:pt idx="11" formatCode="General">
                  <c:v>15.75</c:v>
                </c:pt>
                <c:pt idx="12" formatCode="General">
                  <c:v>22</c:v>
                </c:pt>
                <c:pt idx="13" formatCode="General">
                  <c:v>22</c:v>
                </c:pt>
                <c:pt idx="14" formatCode="General">
                  <c:v>22</c:v>
                </c:pt>
                <c:pt idx="15" formatCode="General">
                  <c:v>20.5</c:v>
                </c:pt>
                <c:pt idx="16" formatCode="General">
                  <c:v>20.5</c:v>
                </c:pt>
                <c:pt idx="17" formatCode="General">
                  <c:v>20.5</c:v>
                </c:pt>
                <c:pt idx="18">
                  <c:v>31.375</c:v>
                </c:pt>
                <c:pt idx="19" formatCode="General">
                  <c:v>31.375</c:v>
                </c:pt>
                <c:pt idx="20" formatCode="General">
                  <c:v>31.375</c:v>
                </c:pt>
                <c:pt idx="21" formatCode="General">
                  <c:v>31.375</c:v>
                </c:pt>
                <c:pt idx="22">
                  <c:v>40.75</c:v>
                </c:pt>
                <c:pt idx="23">
                  <c:v>40.75</c:v>
                </c:pt>
              </c:numCache>
            </c:numRef>
          </c:xVal>
          <c:yVal>
            <c:numRef>
              <c:f>List1!$H$4:$H$27</c:f>
              <c:numCache>
                <c:formatCode>General</c:formatCode>
                <c:ptCount val="24"/>
                <c:pt idx="0">
                  <c:v>-2</c:v>
                </c:pt>
                <c:pt idx="1">
                  <c:v>0</c:v>
                </c:pt>
                <c:pt idx="2">
                  <c:v>0</c:v>
                </c:pt>
                <c:pt idx="3">
                  <c:v>-1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-5</c:v>
                </c:pt>
                <c:pt idx="12">
                  <c:v>-5</c:v>
                </c:pt>
                <c:pt idx="13">
                  <c:v>0</c:v>
                </c:pt>
                <c:pt idx="14">
                  <c:v>-5</c:v>
                </c:pt>
                <c:pt idx="15">
                  <c:v>-5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-1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B-47D4-9571-A114D7A0CAE6}"/>
            </c:ext>
          </c:extLst>
        </c:ser>
        <c:ser>
          <c:idx val="1"/>
          <c:order val="1"/>
          <c:tx>
            <c:v>nigger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List1!$J$4:$J$5</c:f>
              <c:numCache>
                <c:formatCode>General\ " g"</c:formatCode>
                <c:ptCount val="2"/>
                <c:pt idx="0">
                  <c:v>20.285714285714285</c:v>
                </c:pt>
                <c:pt idx="1">
                  <c:v>20.285714285714285</c:v>
                </c:pt>
              </c:numCache>
            </c:numRef>
          </c:xVal>
          <c:yVal>
            <c:numRef>
              <c:f>List1!$K$4:$K$5</c:f>
              <c:numCache>
                <c:formatCode>General</c:formatCode>
                <c:ptCount val="2"/>
                <c:pt idx="0">
                  <c:v>-4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FB-47D4-9571-A114D7A0CAE6}"/>
            </c:ext>
          </c:extLst>
        </c:ser>
        <c:ser>
          <c:idx val="2"/>
          <c:order val="2"/>
          <c:tx>
            <c:v>nigga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List1!$M$4:$M$5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xVal>
          <c:yVal>
            <c:numRef>
              <c:f>List1!$N$4:$N$5</c:f>
              <c:numCache>
                <c:formatCode>General</c:formatCode>
                <c:ptCount val="2"/>
                <c:pt idx="0">
                  <c:v>-4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FB-47D4-9571-A114D7A0C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483712"/>
        <c:axId val="772497136"/>
      </c:scatterChart>
      <c:valAx>
        <c:axId val="87648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72497136"/>
        <c:crosses val="autoZero"/>
        <c:crossBetween val="midCat"/>
      </c:valAx>
      <c:valAx>
        <c:axId val="7724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7648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List1!$S$5:$S$28</c:f>
              <c:numCache>
                <c:formatCode>General</c:formatCode>
                <c:ptCount val="24"/>
                <c:pt idx="0">
                  <c:v>-2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1.5</c:v>
                </c:pt>
                <c:pt idx="10">
                  <c:v>1.4488887394336025</c:v>
                </c:pt>
                <c:pt idx="11">
                  <c:v>1.299038105676658</c:v>
                </c:pt>
                <c:pt idx="12">
                  <c:v>1.0606601717798214</c:v>
                </c:pt>
                <c:pt idx="13">
                  <c:v>0.75000000000000022</c:v>
                </c:pt>
                <c:pt idx="14">
                  <c:v>0.38822856765378111</c:v>
                </c:pt>
                <c:pt idx="15">
                  <c:v>9.1886134118146501E-17</c:v>
                </c:pt>
                <c:pt idx="16">
                  <c:v>-0.38822856765378094</c:v>
                </c:pt>
                <c:pt idx="17">
                  <c:v>-0.74999999999999967</c:v>
                </c:pt>
                <c:pt idx="18">
                  <c:v>-1.0606601717798212</c:v>
                </c:pt>
                <c:pt idx="19">
                  <c:v>-1.299038105676658</c:v>
                </c:pt>
                <c:pt idx="20">
                  <c:v>-1.4488887394336023</c:v>
                </c:pt>
                <c:pt idx="21">
                  <c:v>-1.5</c:v>
                </c:pt>
                <c:pt idx="22">
                  <c:v>-1.5</c:v>
                </c:pt>
                <c:pt idx="23">
                  <c:v>-1.4488887394336025</c:v>
                </c:pt>
              </c:numCache>
            </c:numRef>
          </c:xVal>
          <c:yVal>
            <c:numRef>
              <c:f>List1!$T$5:$T$28</c:f>
              <c:numCache>
                <c:formatCode>General</c:formatCode>
                <c:ptCount val="24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7</c:v>
                </c:pt>
                <c:pt idx="9">
                  <c:v>8.5</c:v>
                </c:pt>
                <c:pt idx="10">
                  <c:v>8.8882285676537816</c:v>
                </c:pt>
                <c:pt idx="11">
                  <c:v>9.25</c:v>
                </c:pt>
                <c:pt idx="12">
                  <c:v>9.560660171779821</c:v>
                </c:pt>
                <c:pt idx="13">
                  <c:v>9.799038105676658</c:v>
                </c:pt>
                <c:pt idx="14">
                  <c:v>9.9488887394336025</c:v>
                </c:pt>
                <c:pt idx="15">
                  <c:v>10</c:v>
                </c:pt>
                <c:pt idx="16">
                  <c:v>9.9488887394336025</c:v>
                </c:pt>
                <c:pt idx="17">
                  <c:v>9.799038105676658</c:v>
                </c:pt>
                <c:pt idx="18">
                  <c:v>9.560660171779821</c:v>
                </c:pt>
                <c:pt idx="19">
                  <c:v>9.25</c:v>
                </c:pt>
                <c:pt idx="20">
                  <c:v>8.8882285676537816</c:v>
                </c:pt>
                <c:pt idx="21">
                  <c:v>8.5</c:v>
                </c:pt>
                <c:pt idx="22">
                  <c:v>8.5</c:v>
                </c:pt>
                <c:pt idx="23">
                  <c:v>8.1117714323462184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D-4CC3-8A0E-F8DED9DB5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262160"/>
        <c:axId val="772454896"/>
      </c:scatterChart>
      <c:valAx>
        <c:axId val="875262160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72454896"/>
        <c:crosses val="autoZero"/>
        <c:crossBetween val="midCat"/>
      </c:valAx>
      <c:valAx>
        <c:axId val="7724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7526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588168</xdr:colOff>
      <xdr:row>13</xdr:row>
      <xdr:rowOff>137691</xdr:rowOff>
    </xdr:from>
    <xdr:to>
      <xdr:col>15</xdr:col>
      <xdr:colOff>626268</xdr:colOff>
      <xdr:row>28</xdr:row>
      <xdr:rowOff>166267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BAEAC22-EDFD-B605-92EF-4654FBA70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57830</xdr:colOff>
      <xdr:row>11</xdr:row>
      <xdr:rowOff>176212</xdr:rowOff>
    </xdr:from>
    <xdr:to>
      <xdr:col>27</xdr:col>
      <xdr:colOff>105454</xdr:colOff>
      <xdr:row>26</xdr:row>
      <xdr:rowOff>163966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59DFF541-2C85-6A86-EE33-DDFDE3ECF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E3FB-4927-4FE5-9A74-A550328E2E4B}">
  <dimension ref="A1:AC36"/>
  <sheetViews>
    <sheetView tabSelected="1" zoomScale="70" zoomScaleNormal="70" workbookViewId="0">
      <selection activeCell="M3" sqref="M3:N5"/>
    </sheetView>
  </sheetViews>
  <sheetFormatPr defaultRowHeight="14.25" x14ac:dyDescent="0.45"/>
  <cols>
    <col min="1" max="1" width="17.59765625" customWidth="1"/>
    <col min="2" max="2" width="14.796875" bestFit="1" customWidth="1"/>
    <col min="3" max="3" width="12.265625" bestFit="1" customWidth="1"/>
    <col min="4" max="4" width="13.59765625" customWidth="1"/>
    <col min="19" max="19" width="10.9296875" bestFit="1" customWidth="1"/>
    <col min="29" max="29" width="10.9296875" customWidth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29" x14ac:dyDescent="0.45">
      <c r="A2" s="3" t="s">
        <v>4</v>
      </c>
      <c r="B2" s="4">
        <v>15</v>
      </c>
      <c r="C2" s="4">
        <v>63</v>
      </c>
      <c r="D2" s="4">
        <v>18</v>
      </c>
    </row>
    <row r="3" spans="1:29" x14ac:dyDescent="0.45">
      <c r="A3" s="3" t="s">
        <v>5</v>
      </c>
      <c r="B3" s="4">
        <v>18</v>
      </c>
      <c r="C3" s="4">
        <v>45</v>
      </c>
      <c r="D3" s="4">
        <v>26</v>
      </c>
      <c r="G3" t="s">
        <v>21</v>
      </c>
      <c r="H3" t="s">
        <v>22</v>
      </c>
      <c r="J3" t="s">
        <v>21</v>
      </c>
      <c r="K3" t="s">
        <v>22</v>
      </c>
      <c r="M3" t="s">
        <v>21</v>
      </c>
      <c r="N3" t="s">
        <v>22</v>
      </c>
    </row>
    <row r="4" spans="1:29" x14ac:dyDescent="0.45">
      <c r="A4" s="3" t="s">
        <v>6</v>
      </c>
      <c r="B4" s="4">
        <v>19</v>
      </c>
      <c r="C4" s="4">
        <v>62</v>
      </c>
      <c r="D4" s="4">
        <v>8</v>
      </c>
      <c r="G4" s="2">
        <f>_xlfn.QUARTILE.INC(B2:B15,1)-(3*(_xlfn.QUARTILE.INC(B2:B15, 3)-_xlfn.QUARTILE.INC(B2:B15, 1)))</f>
        <v>-3</v>
      </c>
      <c r="H4">
        <v>-2</v>
      </c>
      <c r="J4" s="7">
        <f>AVERAGE(B2:B15)</f>
        <v>20.285714285714285</v>
      </c>
      <c r="K4">
        <v>-4</v>
      </c>
      <c r="M4">
        <f>_xlfn.MODE.SNGL(B2:B15)</f>
        <v>21</v>
      </c>
      <c r="N4">
        <v>-4</v>
      </c>
      <c r="S4" t="s">
        <v>21</v>
      </c>
      <c r="T4" t="s">
        <v>22</v>
      </c>
    </row>
    <row r="5" spans="1:29" x14ac:dyDescent="0.45">
      <c r="A5" s="3" t="s">
        <v>7</v>
      </c>
      <c r="B5" s="4">
        <v>20</v>
      </c>
      <c r="C5" s="4">
        <v>50</v>
      </c>
      <c r="D5" s="4">
        <v>17</v>
      </c>
      <c r="G5" s="6">
        <f>_xlfn.QUARTILE.INC(B2:B15,1)-(3*(_xlfn.QUARTILE.INC(B2:B15, 3)-_xlfn.QUARTILE.INC(B2:B15, 1)))</f>
        <v>-3</v>
      </c>
      <c r="H5">
        <v>0</v>
      </c>
      <c r="J5" s="7">
        <f>AVERAGE(B2:B15)</f>
        <v>20.285714285714285</v>
      </c>
      <c r="K5">
        <v>4</v>
      </c>
      <c r="M5">
        <f>_xlfn.MODE.SNGL(B2:B15)</f>
        <v>21</v>
      </c>
      <c r="N5">
        <v>4</v>
      </c>
      <c r="S5">
        <v>-2</v>
      </c>
      <c r="T5">
        <v>0</v>
      </c>
    </row>
    <row r="6" spans="1:29" x14ac:dyDescent="0.45">
      <c r="A6" s="3" t="s">
        <v>8</v>
      </c>
      <c r="B6" s="4">
        <v>21</v>
      </c>
      <c r="C6" s="4">
        <v>53</v>
      </c>
      <c r="D6" s="4">
        <v>7</v>
      </c>
      <c r="G6" s="6">
        <f>_xlfn.QUARTILE.INC(B2:B15,1)-(1.5*(_xlfn.QUARTILE.INC(B2:B15, 3)-_xlfn.QUARTILE.INC(B2:B15, 1)))</f>
        <v>6.375</v>
      </c>
      <c r="H6" s="2">
        <v>0</v>
      </c>
      <c r="S6">
        <v>0</v>
      </c>
      <c r="T6">
        <v>3</v>
      </c>
      <c r="X6">
        <v>0</v>
      </c>
      <c r="Y6">
        <v>8.5</v>
      </c>
      <c r="Z6">
        <v>1.5</v>
      </c>
      <c r="AB6" t="s">
        <v>23</v>
      </c>
    </row>
    <row r="7" spans="1:29" x14ac:dyDescent="0.45">
      <c r="A7" s="3" t="s">
        <v>9</v>
      </c>
      <c r="B7" s="4">
        <v>8</v>
      </c>
      <c r="C7" s="4">
        <v>14</v>
      </c>
      <c r="D7" s="4">
        <v>76</v>
      </c>
      <c r="G7" s="6">
        <f>_xlfn.QUARTILE.INC(B2:B15,1)-(1.5*(_xlfn.QUARTILE.INC(B2:B15, 3)-_xlfn.QUARTILE.INC(B2:B15, 1)))</f>
        <v>6.375</v>
      </c>
      <c r="H7">
        <v>-1</v>
      </c>
      <c r="S7">
        <v>2</v>
      </c>
      <c r="T7">
        <v>0</v>
      </c>
      <c r="AB7" t="s">
        <v>24</v>
      </c>
    </row>
    <row r="8" spans="1:29" x14ac:dyDescent="0.45">
      <c r="A8" s="3" t="s">
        <v>10</v>
      </c>
      <c r="B8" s="4">
        <v>10</v>
      </c>
      <c r="C8" s="4">
        <v>71</v>
      </c>
      <c r="D8" s="4">
        <v>14</v>
      </c>
      <c r="G8" s="6">
        <f>_xlfn.QUARTILE.INC(B2:B15,1)-(1.5*(_xlfn.QUARTILE.INC(B2:B15, 3)-_xlfn.QUARTILE.INC(B2:B15, 1)))</f>
        <v>6.375</v>
      </c>
      <c r="H8">
        <v>1</v>
      </c>
      <c r="S8">
        <v>0</v>
      </c>
      <c r="T8">
        <v>3</v>
      </c>
      <c r="AC8" t="s">
        <v>25</v>
      </c>
    </row>
    <row r="9" spans="1:29" x14ac:dyDescent="0.45">
      <c r="A9" s="3" t="s">
        <v>11</v>
      </c>
      <c r="B9" s="4">
        <v>14</v>
      </c>
      <c r="C9" s="4">
        <v>68</v>
      </c>
      <c r="D9" s="4">
        <v>13</v>
      </c>
      <c r="G9" s="7">
        <f>_xlfn.QUARTILE.INC(B2:B15,1)-(1.5*(_xlfn.QUARTILE.INC(B2:B15, 3)-_xlfn.QUARTILE.INC(B2:B15, 1)))</f>
        <v>6.375</v>
      </c>
      <c r="H9">
        <v>0</v>
      </c>
      <c r="S9">
        <v>0</v>
      </c>
      <c r="T9">
        <v>4.5</v>
      </c>
      <c r="AC9">
        <f>0</f>
        <v>0</v>
      </c>
    </row>
    <row r="10" spans="1:29" x14ac:dyDescent="0.45">
      <c r="A10" s="3" t="s">
        <v>12</v>
      </c>
      <c r="B10" s="4">
        <v>25</v>
      </c>
      <c r="C10" s="4">
        <v>56</v>
      </c>
      <c r="D10" s="4">
        <v>4</v>
      </c>
      <c r="G10">
        <f>_xlfn.QUARTILE.INC(B2:B15, 1)</f>
        <v>15.75</v>
      </c>
      <c r="H10">
        <v>0</v>
      </c>
      <c r="S10">
        <v>-2</v>
      </c>
      <c r="T10">
        <v>4.5</v>
      </c>
      <c r="AC10">
        <f>PI() / 12</f>
        <v>0.26179938779914941</v>
      </c>
    </row>
    <row r="11" spans="1:29" x14ac:dyDescent="0.45">
      <c r="A11" s="3" t="s">
        <v>13</v>
      </c>
      <c r="B11" s="4">
        <v>32</v>
      </c>
      <c r="C11" s="4">
        <v>51</v>
      </c>
      <c r="D11" s="4">
        <v>6.4</v>
      </c>
      <c r="G11">
        <f>_xlfn.QUARTILE.INC(B2:B15, 1)</f>
        <v>15.75</v>
      </c>
      <c r="H11">
        <v>5</v>
      </c>
      <c r="S11">
        <v>2</v>
      </c>
      <c r="T11">
        <v>4.5</v>
      </c>
      <c r="AC11">
        <f>2*PI() / 12</f>
        <v>0.52359877559829882</v>
      </c>
    </row>
    <row r="12" spans="1:29" x14ac:dyDescent="0.45">
      <c r="A12" s="3" t="s">
        <v>14</v>
      </c>
      <c r="B12" s="4">
        <v>37</v>
      </c>
      <c r="C12" s="4">
        <v>46</v>
      </c>
      <c r="D12" s="4">
        <v>2</v>
      </c>
      <c r="G12">
        <f>_xlfn.QUARTILE.INC(B2:B15, 3)</f>
        <v>22</v>
      </c>
      <c r="H12">
        <v>5</v>
      </c>
      <c r="S12">
        <v>0</v>
      </c>
      <c r="T12">
        <v>4.5</v>
      </c>
      <c r="AC12">
        <f>3*PI() / 12</f>
        <v>0.78539816339744828</v>
      </c>
    </row>
    <row r="13" spans="1:29" x14ac:dyDescent="0.45">
      <c r="A13" s="3" t="s">
        <v>15</v>
      </c>
      <c r="B13" s="4">
        <v>21</v>
      </c>
      <c r="C13" s="4">
        <v>31</v>
      </c>
      <c r="D13" s="4">
        <v>20</v>
      </c>
      <c r="G13">
        <f>_xlfn.QUARTILE.INC(B2:B15, 3)</f>
        <v>22</v>
      </c>
      <c r="H13">
        <v>0</v>
      </c>
      <c r="S13">
        <v>0</v>
      </c>
      <c r="T13">
        <v>7</v>
      </c>
      <c r="AC13">
        <f>4*PI() / 12</f>
        <v>1.0471975511965976</v>
      </c>
    </row>
    <row r="14" spans="1:29" x14ac:dyDescent="0.45">
      <c r="A14" s="3" t="s">
        <v>16</v>
      </c>
      <c r="B14" s="4">
        <v>22</v>
      </c>
      <c r="C14" s="4">
        <v>58</v>
      </c>
      <c r="D14" s="4">
        <v>22</v>
      </c>
      <c r="G14">
        <f>_xlfn.QUARTILE.INC(B2:B15, 1)</f>
        <v>15.75</v>
      </c>
      <c r="H14">
        <v>0</v>
      </c>
      <c r="S14">
        <f>$X$6+$Z$6*COS(AC9)</f>
        <v>1.5</v>
      </c>
      <c r="T14">
        <f>$Y$6+$Z$6*SIN(AC9)</f>
        <v>8.5</v>
      </c>
      <c r="AC14">
        <f>5*PI() / 12</f>
        <v>1.3089969389957472</v>
      </c>
    </row>
    <row r="15" spans="1:29" x14ac:dyDescent="0.45">
      <c r="A15" s="3" t="s">
        <v>17</v>
      </c>
      <c r="B15" s="4">
        <v>22</v>
      </c>
      <c r="C15" s="4">
        <v>42</v>
      </c>
      <c r="D15" s="4">
        <v>3</v>
      </c>
      <c r="G15">
        <f>_xlfn.QUARTILE.INC(B2:B15, 1)</f>
        <v>15.75</v>
      </c>
      <c r="H15">
        <v>-5</v>
      </c>
      <c r="S15">
        <f t="shared" ref="S15:S26" si="0">$X$6+$Z$6*COS(AC10)</f>
        <v>1.4488887394336025</v>
      </c>
      <c r="T15">
        <f t="shared" ref="T15:T26" si="1">$Y$6+$Z$6*SIN(AC10)</f>
        <v>8.8882285676537816</v>
      </c>
      <c r="AC15">
        <f>6*PI() / 12</f>
        <v>1.5707963267948966</v>
      </c>
    </row>
    <row r="16" spans="1:29" x14ac:dyDescent="0.45">
      <c r="A16" s="2" t="s">
        <v>18</v>
      </c>
      <c r="B16" s="5">
        <f>AVERAGE(B2:B15)</f>
        <v>20.285714285714285</v>
      </c>
      <c r="C16" s="5">
        <f t="shared" ref="C16:D16" si="2">AVERAGE(C2:C15)</f>
        <v>50.714285714285715</v>
      </c>
      <c r="D16" s="5">
        <f t="shared" si="2"/>
        <v>16.885714285714286</v>
      </c>
      <c r="G16">
        <f>_xlfn.QUARTILE.INC(B2:B15, 3)</f>
        <v>22</v>
      </c>
      <c r="H16">
        <v>-5</v>
      </c>
      <c r="S16">
        <f t="shared" si="0"/>
        <v>1.299038105676658</v>
      </c>
      <c r="T16">
        <f t="shared" si="1"/>
        <v>9.25</v>
      </c>
      <c r="AC16">
        <f>7*PI() / 12</f>
        <v>1.8325957145940459</v>
      </c>
    </row>
    <row r="17" spans="1:29" x14ac:dyDescent="0.45">
      <c r="A17" s="2" t="s">
        <v>19</v>
      </c>
      <c r="B17" s="5">
        <f>GEOMEAN(B2:B15)</f>
        <v>18.870417256917126</v>
      </c>
      <c r="C17" s="5">
        <f t="shared" ref="C17:D17" si="3">GEOMEAN(C2:C15)</f>
        <v>47.663797229912198</v>
      </c>
      <c r="D17" s="5">
        <f t="shared" si="3"/>
        <v>11.072813285227001</v>
      </c>
      <c r="G17">
        <f>_xlfn.QUARTILE.INC(B2:B15, 3)</f>
        <v>22</v>
      </c>
      <c r="H17">
        <v>0</v>
      </c>
      <c r="S17">
        <f t="shared" si="0"/>
        <v>1.0606601717798214</v>
      </c>
      <c r="T17">
        <f t="shared" si="1"/>
        <v>9.560660171779821</v>
      </c>
      <c r="AC17">
        <f>8*PI() / 12</f>
        <v>2.0943951023931953</v>
      </c>
    </row>
    <row r="18" spans="1:29" x14ac:dyDescent="0.45">
      <c r="A18" s="2" t="s">
        <v>20</v>
      </c>
      <c r="B18" s="5">
        <f>HARMEAN(B2:B15)</f>
        <v>17.376052581944784</v>
      </c>
      <c r="C18" s="5">
        <f t="shared" ref="C18:D18" si="4">HARMEAN(C2:C15)</f>
        <v>42.967951094918703</v>
      </c>
      <c r="D18" s="5">
        <f t="shared" si="4"/>
        <v>7.3021437667128186</v>
      </c>
      <c r="G18">
        <f>_xlfn.QUARTILE.INC(B2:B15, 3)</f>
        <v>22</v>
      </c>
      <c r="H18">
        <v>-5</v>
      </c>
      <c r="S18">
        <f t="shared" si="0"/>
        <v>0.75000000000000022</v>
      </c>
      <c r="T18">
        <f t="shared" si="1"/>
        <v>9.799038105676658</v>
      </c>
      <c r="AC18">
        <f>9*PI() / 12</f>
        <v>2.3561944901923448</v>
      </c>
    </row>
    <row r="19" spans="1:29" x14ac:dyDescent="0.45">
      <c r="G19">
        <f>_xlfn.QUARTILE.INC(B2:B15, 2)</f>
        <v>20.5</v>
      </c>
      <c r="H19">
        <v>-5</v>
      </c>
      <c r="S19">
        <f t="shared" si="0"/>
        <v>0.38822856765378111</v>
      </c>
      <c r="T19">
        <f t="shared" si="1"/>
        <v>9.9488887394336025</v>
      </c>
      <c r="AC19">
        <f>10*PI() / 12</f>
        <v>2.6179938779914944</v>
      </c>
    </row>
    <row r="20" spans="1:29" x14ac:dyDescent="0.45">
      <c r="G20">
        <f>_xlfn.QUARTILE.INC(B2:B15, 2)</f>
        <v>20.5</v>
      </c>
      <c r="H20">
        <v>5</v>
      </c>
      <c r="S20">
        <f t="shared" si="0"/>
        <v>9.1886134118146501E-17</v>
      </c>
      <c r="T20">
        <f t="shared" si="1"/>
        <v>10</v>
      </c>
      <c r="AC20">
        <f>11*PI() / 12</f>
        <v>2.8797932657906435</v>
      </c>
    </row>
    <row r="21" spans="1:29" x14ac:dyDescent="0.45">
      <c r="G21">
        <f>_xlfn.QUARTILE.INC(B2:B15, 2)</f>
        <v>20.5</v>
      </c>
      <c r="H21">
        <v>0</v>
      </c>
      <c r="S21">
        <f>$X$6+$Z$6*COS(AC16)</f>
        <v>-0.38822856765378094</v>
      </c>
      <c r="T21">
        <f t="shared" si="1"/>
        <v>9.9488887394336025</v>
      </c>
      <c r="AC21">
        <f>12*PI() / 12</f>
        <v>3.1415926535897931</v>
      </c>
    </row>
    <row r="22" spans="1:29" x14ac:dyDescent="0.45">
      <c r="G22" s="7">
        <f>_xlfn.QUARTILE.INC(B2:B15, 3)+(1.5 * (_xlfn.QUARTILE.INC(B2:B15, 3)-_xlfn.QUARTILE.INC(B2:B15, 1)))</f>
        <v>31.375</v>
      </c>
      <c r="H22">
        <v>0</v>
      </c>
      <c r="S22">
        <f t="shared" si="0"/>
        <v>-0.74999999999999967</v>
      </c>
      <c r="T22">
        <f t="shared" si="1"/>
        <v>9.799038105676658</v>
      </c>
      <c r="AC22">
        <f>PI()+0</f>
        <v>3.1415926535897931</v>
      </c>
    </row>
    <row r="23" spans="1:29" x14ac:dyDescent="0.45">
      <c r="G23">
        <f>_xlfn.QUARTILE.INC(B2:B15, 3)+(1.5 * (_xlfn.QUARTILE.INC(B2:B15, 3)-_xlfn.QUARTILE.INC(B2:B15, 1)))</f>
        <v>31.375</v>
      </c>
      <c r="H23">
        <v>-1</v>
      </c>
      <c r="S23">
        <f t="shared" si="0"/>
        <v>-1.0606601717798212</v>
      </c>
      <c r="T23">
        <f t="shared" si="1"/>
        <v>9.560660171779821</v>
      </c>
      <c r="AC23">
        <f>PI()+PI() / 12</f>
        <v>3.4033920413889427</v>
      </c>
    </row>
    <row r="24" spans="1:29" x14ac:dyDescent="0.45">
      <c r="G24">
        <f>_xlfn.QUARTILE.INC(B2:B15, 3)+(1.5 * (_xlfn.QUARTILE.INC(B2:B15, 3)-_xlfn.QUARTILE.INC(B2:B15, 1)))</f>
        <v>31.375</v>
      </c>
      <c r="H24">
        <v>1</v>
      </c>
      <c r="S24">
        <f t="shared" si="0"/>
        <v>-1.299038105676658</v>
      </c>
      <c r="T24">
        <f t="shared" si="1"/>
        <v>9.25</v>
      </c>
      <c r="AC24">
        <f>PI()+2*PI() / 12</f>
        <v>3.6651914291880918</v>
      </c>
    </row>
    <row r="25" spans="1:29" x14ac:dyDescent="0.45">
      <c r="G25">
        <f>_xlfn.QUARTILE.INC(B2:B15, 3)+(1.5 * (_xlfn.QUARTILE.INC(B2:B15, 3)-_xlfn.QUARTILE.INC(B2:B15, 1)))</f>
        <v>31.375</v>
      </c>
      <c r="H25">
        <v>0</v>
      </c>
      <c r="S25">
        <f t="shared" si="0"/>
        <v>-1.4488887394336023</v>
      </c>
      <c r="T25">
        <f t="shared" si="1"/>
        <v>8.8882285676537816</v>
      </c>
      <c r="AC25">
        <f>PI()+3*PI() / 12</f>
        <v>3.9269908169872414</v>
      </c>
    </row>
    <row r="26" spans="1:29" x14ac:dyDescent="0.45">
      <c r="G26" s="7">
        <f>_xlfn.QUARTILE.INC(B2:B15, 3)+(3 * (_xlfn.QUARTILE.INC(B2:B15, 3)-_xlfn.QUARTILE.INC(B2:B15, 1)))</f>
        <v>40.75</v>
      </c>
      <c r="H26">
        <v>0</v>
      </c>
      <c r="S26">
        <f t="shared" si="0"/>
        <v>-1.5</v>
      </c>
      <c r="T26">
        <f t="shared" si="1"/>
        <v>8.5</v>
      </c>
      <c r="AC26">
        <f>PI()+4*PI() / 12</f>
        <v>4.1887902047863905</v>
      </c>
    </row>
    <row r="27" spans="1:29" x14ac:dyDescent="0.45">
      <c r="G27" s="7">
        <f>_xlfn.QUARTILE.INC(B2:B15, 3)+(3 * (_xlfn.QUARTILE.INC(B2:B15, 3)-_xlfn.QUARTILE.INC(B2:B15, 1)))</f>
        <v>40.75</v>
      </c>
      <c r="H27">
        <v>-2</v>
      </c>
      <c r="S27">
        <f>$X$6+$Z$6*COS(AC22)</f>
        <v>-1.5</v>
      </c>
      <c r="T27">
        <f>$Y$6+$Z$6*SIN(AC22)</f>
        <v>8.5</v>
      </c>
      <c r="AC27">
        <f>PI()+5*PI() / 12</f>
        <v>4.4505895925855405</v>
      </c>
    </row>
    <row r="28" spans="1:29" x14ac:dyDescent="0.45">
      <c r="S28">
        <f t="shared" ref="S28:S33" si="5">$X$6+$Z$6*COS(AC23)</f>
        <v>-1.4488887394336025</v>
      </c>
      <c r="T28">
        <f t="shared" ref="T28:T36" si="6">$Y$6+$Z$6*SIN(AC23)</f>
        <v>8.1117714323462184</v>
      </c>
      <c r="AC28">
        <f>PI()+6*PI() / 12</f>
        <v>4.7123889803846897</v>
      </c>
    </row>
    <row r="29" spans="1:29" x14ac:dyDescent="0.45">
      <c r="S29">
        <f t="shared" si="5"/>
        <v>-1.2990381056766582</v>
      </c>
      <c r="T29">
        <f t="shared" si="6"/>
        <v>7.75</v>
      </c>
      <c r="AC29">
        <f>PI()+7*PI() / 12</f>
        <v>4.9741883681838388</v>
      </c>
    </row>
    <row r="30" spans="1:29" x14ac:dyDescent="0.45">
      <c r="S30">
        <f t="shared" si="5"/>
        <v>-1.0606601717798214</v>
      </c>
      <c r="T30">
        <f t="shared" si="6"/>
        <v>7.439339828220179</v>
      </c>
      <c r="AC30">
        <f>PI()+8*PI() / 12</f>
        <v>5.2359877559829879</v>
      </c>
    </row>
    <row r="31" spans="1:29" x14ac:dyDescent="0.45">
      <c r="S31">
        <f t="shared" si="5"/>
        <v>-0.75000000000000067</v>
      </c>
      <c r="T31">
        <f t="shared" si="6"/>
        <v>7.200961894323342</v>
      </c>
      <c r="AC31">
        <f>PI()+9*PI() / 12</f>
        <v>5.497787143782138</v>
      </c>
    </row>
    <row r="32" spans="1:29" x14ac:dyDescent="0.45">
      <c r="S32">
        <f t="shared" si="5"/>
        <v>-0.38822856765378094</v>
      </c>
      <c r="T32">
        <f t="shared" si="6"/>
        <v>7.0511112605663975</v>
      </c>
      <c r="AC32">
        <f>PI()+10*PI() / 12</f>
        <v>5.759586531581288</v>
      </c>
    </row>
    <row r="33" spans="19:29" x14ac:dyDescent="0.45">
      <c r="S33">
        <f t="shared" si="5"/>
        <v>-2.756584023544395E-16</v>
      </c>
      <c r="T33">
        <f t="shared" si="6"/>
        <v>7</v>
      </c>
      <c r="W33" t="s">
        <v>26</v>
      </c>
      <c r="AC33">
        <f>PI()+11*PI() / 12</f>
        <v>6.0213859193804371</v>
      </c>
    </row>
    <row r="34" spans="19:29" x14ac:dyDescent="0.45">
      <c r="S34">
        <f>$X$6+$Z$6*COS(AC29)</f>
        <v>0.38822856765378044</v>
      </c>
      <c r="T34">
        <f t="shared" si="6"/>
        <v>7.0511112605663975</v>
      </c>
      <c r="AC34">
        <f>PI()+12*PI() / 12</f>
        <v>6.2831853071795862</v>
      </c>
    </row>
    <row r="35" spans="19:29" x14ac:dyDescent="0.45">
      <c r="S35">
        <f t="shared" ref="S35:S36" si="7">$X$6+$Z$6*COS(AC30)</f>
        <v>0.749999999999999</v>
      </c>
      <c r="T35">
        <f t="shared" si="6"/>
        <v>7.200961894323342</v>
      </c>
    </row>
    <row r="36" spans="19:29" x14ac:dyDescent="0.45">
      <c r="S36">
        <f t="shared" si="7"/>
        <v>1.060660171779821</v>
      </c>
      <c r="T36">
        <f t="shared" si="6"/>
        <v>7.439339828220179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Podpleský Tomáš</dc:creator>
  <cp:lastModifiedBy>Podpleský Tomáš</cp:lastModifiedBy>
  <dcterms:created xsi:type="dcterms:W3CDTF">2026-10-14T08:06:16Z</dcterms:created>
  <dcterms:modified xsi:type="dcterms:W3CDTF">2026-10-20T12:14:45Z</dcterms:modified>
</cp:coreProperties>
</file>