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podpl\Downloads\"/>
    </mc:Choice>
  </mc:AlternateContent>
  <xr:revisionPtr revIDLastSave="0" documentId="13_ncr:1_{FE31CC34-754F-4B48-ABDA-2D635E16D857}" xr6:coauthVersionLast="47" xr6:coauthVersionMax="47" xr10:uidLastSave="{00000000-0000-0000-0000-000000000000}"/>
  <bookViews>
    <workbookView xWindow="22932" yWindow="480" windowWidth="23256" windowHeight="12456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4" i="1"/>
  <c r="F4" i="1"/>
  <c r="J22" i="1"/>
  <c r="F5" i="1"/>
  <c r="F6" i="1"/>
  <c r="F7" i="1"/>
  <c r="F8" i="1"/>
  <c r="F9" i="1"/>
  <c r="F10" i="1"/>
  <c r="F11" i="1"/>
  <c r="F12" i="1"/>
  <c r="F13" i="1"/>
  <c r="L17" i="1"/>
  <c r="G19" i="1" a="1"/>
  <c r="G19" i="1" s="1"/>
  <c r="Q5" i="1"/>
  <c r="Q6" i="1"/>
  <c r="Q7" i="1"/>
  <c r="Q8" i="1"/>
  <c r="Q9" i="1"/>
  <c r="Q10" i="1"/>
  <c r="Q11" i="1"/>
  <c r="Q12" i="1"/>
  <c r="Q13" i="1"/>
  <c r="Q14" i="1"/>
  <c r="Q4" i="1"/>
  <c r="H4" i="1"/>
  <c r="H5" i="1"/>
  <c r="H6" i="1"/>
  <c r="H7" i="1"/>
  <c r="H8" i="1"/>
  <c r="H9" i="1"/>
  <c r="H10" i="1"/>
  <c r="H11" i="1"/>
  <c r="H12" i="1"/>
  <c r="H13" i="1"/>
  <c r="H14" i="1"/>
  <c r="N5" i="1"/>
  <c r="N6" i="1"/>
  <c r="N7" i="1"/>
  <c r="N8" i="1"/>
  <c r="N9" i="1"/>
  <c r="N10" i="1"/>
  <c r="N11" i="1"/>
  <c r="N12" i="1"/>
  <c r="N13" i="1"/>
  <c r="N4" i="1"/>
  <c r="L14" i="1"/>
  <c r="N14" i="1" s="1"/>
  <c r="G14" i="1"/>
  <c r="G6" i="1"/>
  <c r="G7" i="1"/>
  <c r="G8" i="1"/>
  <c r="G9" i="1"/>
  <c r="G10" i="1"/>
  <c r="G11" i="1"/>
  <c r="G12" i="1"/>
  <c r="G13" i="1"/>
  <c r="G4" i="1"/>
  <c r="G5" i="1"/>
  <c r="E14" i="1"/>
  <c r="M14" i="1" l="1"/>
  <c r="F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<sst xmlns="http://schemas.openxmlformats.org/spreadsheetml/2006/main" count="17" uniqueCount="10">
  <si>
    <t>nakloněná dráha</t>
  </si>
  <si>
    <r>
      <rPr>
        <i/>
        <sz val="11"/>
        <color rgb="FF000000"/>
        <rFont val="Aptos Narrow"/>
        <scheme val="minor"/>
      </rPr>
      <t>dráha</t>
    </r>
    <r>
      <rPr>
        <sz val="11"/>
        <color rgb="FF000000"/>
        <rFont val="Aptos Narrow"/>
        <scheme val="minor"/>
      </rPr>
      <t>/mm</t>
    </r>
  </si>
  <si>
    <r>
      <rPr>
        <i/>
        <sz val="11"/>
        <color rgb="FF000000"/>
        <rFont val="Aptos Narrow"/>
        <scheme val="minor"/>
      </rPr>
      <t>čas</t>
    </r>
    <r>
      <rPr>
        <sz val="11"/>
        <color rgb="FF000000"/>
        <rFont val="Aptos Narrow"/>
        <scheme val="minor"/>
      </rPr>
      <t>/s</t>
    </r>
  </si>
  <si>
    <t>chyba času</t>
  </si>
  <si>
    <t>průměr</t>
  </si>
  <si>
    <r>
      <rPr>
        <i/>
        <sz val="11"/>
        <color rgb="FF000000"/>
        <rFont val="Aptos Narrow"/>
      </rPr>
      <t>zrychlení</t>
    </r>
    <r>
      <rPr>
        <sz val="11"/>
        <color rgb="FF000000"/>
        <rFont val="Aptos Narrow"/>
      </rPr>
      <t>/ms-2</t>
    </r>
  </si>
  <si>
    <t>rychlost kuličky/ms-1</t>
  </si>
  <si>
    <t>porovnání</t>
  </si>
  <si>
    <r>
      <t>dráha</t>
    </r>
    <r>
      <rPr>
        <sz val="11"/>
        <color rgb="FF000000"/>
        <rFont val="Aptos Narrow"/>
        <scheme val="minor"/>
      </rPr>
      <t>/mm</t>
    </r>
  </si>
  <si>
    <t>0,9±0,2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</si>
</sst>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i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ashed">
        <color rgb="FFFF0000"/>
      </left>
      <right style="dashed">
        <color rgb="FFFF0000"/>
      </right>
      <top style="dashed">
        <color rgb="FFFF0000"/>
      </top>
      <bottom style="dashed">
        <color rgb="FFFF0000"/>
      </bottom>
      <diagonal/>
    </border>
    <border>
      <left style="dashed">
        <color rgb="FFFF0000"/>
      </left>
      <right style="thick">
        <color rgb="FFFF0000"/>
      </right>
      <top style="thick">
        <color rgb="FFFF0000"/>
      </top>
      <bottom style="dashed">
        <color rgb="FFFF0000"/>
      </bottom>
      <diagonal/>
    </border>
    <border>
      <left style="dashed">
        <color rgb="FFFF0000"/>
      </left>
      <right style="thick">
        <color rgb="FFFF0000"/>
      </right>
      <top style="dashed">
        <color rgb="FFFF0000"/>
      </top>
      <bottom style="dashed">
        <color rgb="FFFF0000"/>
      </bottom>
      <diagonal/>
    </border>
    <border>
      <left style="thick">
        <color rgb="FFFF0000"/>
      </left>
      <right style="dashed">
        <color rgb="FFFF0000"/>
      </right>
      <top style="thick">
        <color rgb="FFFF0000"/>
      </top>
      <bottom style="dashed">
        <color rgb="FFFF0000"/>
      </bottom>
      <diagonal/>
    </border>
    <border>
      <left style="dashed">
        <color rgb="FFFF0000"/>
      </left>
      <right style="dashed">
        <color rgb="FFFF0000"/>
      </right>
      <top style="thick">
        <color rgb="FFFF0000"/>
      </top>
      <bottom style="dashed">
        <color rgb="FFFF0000"/>
      </bottom>
      <diagonal/>
    </border>
    <border>
      <left style="thick">
        <color rgb="FFFF0000"/>
      </left>
      <right style="dashed">
        <color rgb="FFFF0000"/>
      </right>
      <top style="dashed">
        <color rgb="FFFF0000"/>
      </top>
      <bottom style="dashed">
        <color rgb="FFFF0000"/>
      </bottom>
      <diagonal/>
    </border>
    <border>
      <left style="thick">
        <color rgb="FFFF0000"/>
      </left>
      <right style="dashed">
        <color rgb="FFFF0000"/>
      </right>
      <top style="dashed">
        <color rgb="FFFF0000"/>
      </top>
      <bottom style="thick">
        <color rgb="FFFF0000"/>
      </bottom>
      <diagonal/>
    </border>
    <border>
      <left style="dashed">
        <color rgb="FFFF0000"/>
      </left>
      <right style="dashed">
        <color rgb="FFFF0000"/>
      </right>
      <top style="dashed">
        <color rgb="FFFF0000"/>
      </top>
      <bottom style="thick">
        <color rgb="FFFF0000"/>
      </bottom>
      <diagonal/>
    </border>
    <border>
      <left style="dashed">
        <color rgb="FFFF0000"/>
      </left>
      <right style="thick">
        <color rgb="FFFF0000"/>
      </right>
      <top style="dashed">
        <color rgb="FFFF0000"/>
      </top>
      <bottom style="thick">
        <color rgb="FFFF0000"/>
      </bottom>
      <diagonal/>
    </border>
    <border>
      <left style="dashed">
        <color rgb="FFFF0000"/>
      </left>
      <right/>
      <top style="dashed">
        <color rgb="FFFF0000"/>
      </top>
      <bottom style="thick">
        <color rgb="FFFF0000"/>
      </bottom>
      <diagonal/>
    </border>
    <border>
      <left style="dashed">
        <color rgb="FFFF0000"/>
      </left>
      <right/>
      <top style="thick">
        <color rgb="FFFF0000"/>
      </top>
      <bottom style="dashed">
        <color rgb="FFFF0000"/>
      </bottom>
      <diagonal/>
    </border>
    <border>
      <left style="dashed">
        <color rgb="FFFF0000"/>
      </left>
      <right/>
      <top style="dashed">
        <color rgb="FFFF0000"/>
      </top>
      <bottom style="dashed">
        <color rgb="FFFF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2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/>
    <xf numFmtId="164" fontId="0" fillId="0" borderId="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4" fillId="2" borderId="11" xfId="0" applyFont="1" applyFill="1" applyBorder="1"/>
    <xf numFmtId="2" fontId="0" fillId="0" borderId="12" xfId="0" applyNumberFormat="1" applyBorder="1" applyAlignment="1">
      <alignment horizontal="center" vertical="center"/>
    </xf>
    <xf numFmtId="12" fontId="6" fillId="2" borderId="2" xfId="0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7" fillId="0" borderId="0" xfId="0" applyFont="1"/>
    <xf numFmtId="164" fontId="0" fillId="0" borderId="1" xfId="0" applyNumberForma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25"/>
  <sheetViews>
    <sheetView tabSelected="1" workbookViewId="0">
      <selection activeCell="M17" sqref="M17"/>
    </sheetView>
  </sheetViews>
  <sheetFormatPr defaultRowHeight="15" x14ac:dyDescent="0.25"/>
  <cols>
    <col min="3" max="3" width="16.7109375" customWidth="1"/>
    <col min="4" max="4" width="10.28515625" customWidth="1"/>
    <col min="6" max="6" width="11.5703125" customWidth="1"/>
    <col min="7" max="7" width="16.7109375" customWidth="1"/>
    <col min="8" max="8" width="20.42578125" customWidth="1"/>
    <col min="10" max="10" width="17.28515625" customWidth="1"/>
    <col min="11" max="11" width="12.42578125" customWidth="1"/>
    <col min="13" max="13" width="11.140625" customWidth="1"/>
    <col min="14" max="14" width="19.85546875" customWidth="1"/>
    <col min="16" max="16" width="10.7109375" customWidth="1"/>
    <col min="17" max="17" width="11.28515625" customWidth="1"/>
  </cols>
  <sheetData>
    <row r="2" spans="3:17" ht="15.75" thickBot="1" x14ac:dyDescent="0.3"/>
    <row r="3" spans="3:17" ht="15.75" thickTop="1" x14ac:dyDescent="0.25">
      <c r="C3" s="3" t="s">
        <v>0</v>
      </c>
      <c r="D3" s="4" t="s">
        <v>1</v>
      </c>
      <c r="E3" s="5" t="s">
        <v>2</v>
      </c>
      <c r="F3" s="6" t="s">
        <v>3</v>
      </c>
      <c r="G3" s="15" t="s">
        <v>5</v>
      </c>
      <c r="H3" s="11" t="s">
        <v>6</v>
      </c>
      <c r="J3" s="3" t="s">
        <v>0</v>
      </c>
      <c r="K3" s="4" t="s">
        <v>1</v>
      </c>
      <c r="L3" s="5" t="s">
        <v>2</v>
      </c>
      <c r="M3" s="6" t="s">
        <v>3</v>
      </c>
      <c r="N3" s="11" t="s">
        <v>6</v>
      </c>
      <c r="P3" s="3" t="s">
        <v>7</v>
      </c>
      <c r="Q3" s="17" t="s">
        <v>8</v>
      </c>
    </row>
    <row r="4" spans="3:17" x14ac:dyDescent="0.25">
      <c r="C4" s="7">
        <v>1</v>
      </c>
      <c r="D4" s="1">
        <v>675</v>
      </c>
      <c r="E4" s="1">
        <v>1.57</v>
      </c>
      <c r="F4" s="21">
        <f>ABS(H4-$H$14)</f>
        <v>1.5891367474597184E-2</v>
      </c>
      <c r="G4" s="16">
        <f>(2*D4/E4^2)/1000</f>
        <v>0.5476895614426549</v>
      </c>
      <c r="H4" s="12">
        <f>G4*E4</f>
        <v>0.85987261146496818</v>
      </c>
      <c r="I4" s="10"/>
      <c r="J4" s="7">
        <v>1</v>
      </c>
      <c r="K4" s="1">
        <v>675</v>
      </c>
      <c r="L4" s="1">
        <v>0.43</v>
      </c>
      <c r="M4" s="2">
        <f>ABS(L4-$L$14)</f>
        <v>2.8000000000000025E-2</v>
      </c>
      <c r="N4" s="12">
        <f>(K4/L4)/1000</f>
        <v>1.5697674418604652</v>
      </c>
      <c r="P4" s="7">
        <v>1</v>
      </c>
      <c r="Q4" s="18">
        <f>ABS(H4-N4)</f>
        <v>0.70989483039549706</v>
      </c>
    </row>
    <row r="5" spans="3:17" x14ac:dyDescent="0.25">
      <c r="C5" s="7">
        <v>2</v>
      </c>
      <c r="D5" s="1">
        <v>675</v>
      </c>
      <c r="E5" s="1">
        <v>1.51</v>
      </c>
      <c r="F5" s="21">
        <f t="shared" ref="F5:F13" si="0">ABS(H5-$H$14)</f>
        <v>1.8275756159772394E-2</v>
      </c>
      <c r="G5" s="16">
        <f>(2*D5/E5^2)/1000</f>
        <v>0.59207929476777332</v>
      </c>
      <c r="H5" s="12">
        <f t="shared" ref="H5:H14" si="1">G5*E5</f>
        <v>0.89403973509933776</v>
      </c>
      <c r="I5" s="10"/>
      <c r="J5" s="7">
        <v>2</v>
      </c>
      <c r="K5" s="1">
        <v>675</v>
      </c>
      <c r="L5" s="1">
        <v>0.45</v>
      </c>
      <c r="M5" s="2">
        <f t="shared" ref="M5:M13" si="2">ABS(L5-$L$14)</f>
        <v>8.0000000000000071E-3</v>
      </c>
      <c r="N5" s="12">
        <f t="shared" ref="N5:N14" si="3">(K5/L5)/1000</f>
        <v>1.5</v>
      </c>
      <c r="P5" s="7">
        <v>2</v>
      </c>
      <c r="Q5" s="18">
        <f t="shared" ref="Q5:Q14" si="4">ABS(H5-N5)</f>
        <v>0.60596026490066224</v>
      </c>
    </row>
    <row r="6" spans="3:17" x14ac:dyDescent="0.25">
      <c r="C6" s="7">
        <v>3</v>
      </c>
      <c r="D6" s="1">
        <v>675</v>
      </c>
      <c r="E6" s="1">
        <v>1.53</v>
      </c>
      <c r="F6" s="21">
        <f t="shared" si="0"/>
        <v>6.5889622369053047E-3</v>
      </c>
      <c r="G6" s="16">
        <f t="shared" ref="G6:G13" si="5">(2*D6/E6^2)/1000</f>
        <v>0.57670126874279126</v>
      </c>
      <c r="H6" s="12">
        <f t="shared" si="1"/>
        <v>0.88235294117647067</v>
      </c>
      <c r="I6" s="10"/>
      <c r="J6" s="7">
        <v>3</v>
      </c>
      <c r="K6" s="1">
        <v>675</v>
      </c>
      <c r="L6" s="1">
        <v>0.39</v>
      </c>
      <c r="M6" s="2">
        <f t="shared" si="2"/>
        <v>6.8000000000000005E-2</v>
      </c>
      <c r="N6" s="12">
        <f t="shared" si="3"/>
        <v>1.7307692307692306</v>
      </c>
      <c r="P6" s="7">
        <v>3</v>
      </c>
      <c r="Q6" s="18">
        <f t="shared" si="4"/>
        <v>0.84841628959275994</v>
      </c>
    </row>
    <row r="7" spans="3:17" x14ac:dyDescent="0.25">
      <c r="C7" s="7">
        <v>4</v>
      </c>
      <c r="D7" s="1">
        <v>675</v>
      </c>
      <c r="E7" s="1">
        <v>1.56</v>
      </c>
      <c r="F7" s="21">
        <f t="shared" si="0"/>
        <v>1.037936355494995E-2</v>
      </c>
      <c r="G7" s="16">
        <f t="shared" si="5"/>
        <v>0.55473372781065089</v>
      </c>
      <c r="H7" s="12">
        <f t="shared" si="1"/>
        <v>0.86538461538461542</v>
      </c>
      <c r="I7" s="10"/>
      <c r="J7" s="7">
        <v>4</v>
      </c>
      <c r="K7" s="1">
        <v>675</v>
      </c>
      <c r="L7" s="1">
        <v>0.45</v>
      </c>
      <c r="M7" s="2">
        <f t="shared" si="2"/>
        <v>8.0000000000000071E-3</v>
      </c>
      <c r="N7" s="12">
        <f t="shared" si="3"/>
        <v>1.5</v>
      </c>
      <c r="P7" s="7">
        <v>4</v>
      </c>
      <c r="Q7" s="18">
        <f t="shared" si="4"/>
        <v>0.63461538461538458</v>
      </c>
    </row>
    <row r="8" spans="3:17" x14ac:dyDescent="0.25">
      <c r="C8" s="7">
        <v>5</v>
      </c>
      <c r="D8" s="1">
        <v>675</v>
      </c>
      <c r="E8" s="1">
        <v>2.02</v>
      </c>
      <c r="F8" s="21">
        <f t="shared" si="0"/>
        <v>0.20744714725639701</v>
      </c>
      <c r="G8" s="16">
        <f t="shared" si="5"/>
        <v>0.33084991667483582</v>
      </c>
      <c r="H8" s="12">
        <f t="shared" si="1"/>
        <v>0.66831683168316836</v>
      </c>
      <c r="I8" s="10"/>
      <c r="J8" s="7">
        <v>5</v>
      </c>
      <c r="K8" s="1">
        <v>675</v>
      </c>
      <c r="L8" s="1">
        <v>0.44</v>
      </c>
      <c r="M8" s="2">
        <f t="shared" si="2"/>
        <v>1.8000000000000016E-2</v>
      </c>
      <c r="N8" s="12">
        <f t="shared" si="3"/>
        <v>1.5340909090909089</v>
      </c>
      <c r="P8" s="7">
        <v>5</v>
      </c>
      <c r="Q8" s="18">
        <f t="shared" si="4"/>
        <v>0.86577407740774059</v>
      </c>
    </row>
    <row r="9" spans="3:17" x14ac:dyDescent="0.25">
      <c r="C9" s="7">
        <v>6</v>
      </c>
      <c r="D9" s="1">
        <v>675</v>
      </c>
      <c r="E9" s="1">
        <v>1.47</v>
      </c>
      <c r="F9" s="21">
        <f t="shared" si="0"/>
        <v>4.2603367999210162E-2</v>
      </c>
      <c r="G9" s="16">
        <f t="shared" si="5"/>
        <v>0.62473969179508537</v>
      </c>
      <c r="H9" s="12">
        <f t="shared" si="1"/>
        <v>0.91836734693877553</v>
      </c>
      <c r="I9" s="10"/>
      <c r="J9" s="7">
        <v>6</v>
      </c>
      <c r="K9" s="1">
        <v>675</v>
      </c>
      <c r="L9" s="1">
        <v>0.48</v>
      </c>
      <c r="M9" s="2">
        <f t="shared" si="2"/>
        <v>2.1999999999999964E-2</v>
      </c>
      <c r="N9" s="12">
        <f t="shared" si="3"/>
        <v>1.40625</v>
      </c>
      <c r="P9" s="7">
        <v>6</v>
      </c>
      <c r="Q9" s="18">
        <f t="shared" si="4"/>
        <v>0.48788265306122447</v>
      </c>
    </row>
    <row r="10" spans="3:17" x14ac:dyDescent="0.25">
      <c r="C10" s="7">
        <v>7</v>
      </c>
      <c r="D10" s="1">
        <v>675</v>
      </c>
      <c r="E10" s="1">
        <v>1.55</v>
      </c>
      <c r="F10" s="21">
        <f t="shared" si="0"/>
        <v>4.7962370040816049E-3</v>
      </c>
      <c r="G10" s="16">
        <f t="shared" si="5"/>
        <v>0.56191467221644109</v>
      </c>
      <c r="H10" s="12">
        <f t="shared" si="1"/>
        <v>0.87096774193548376</v>
      </c>
      <c r="I10" s="10"/>
      <c r="J10" s="7">
        <v>7</v>
      </c>
      <c r="K10" s="1">
        <v>675</v>
      </c>
      <c r="L10" s="1">
        <v>0.48</v>
      </c>
      <c r="M10" s="2">
        <f t="shared" si="2"/>
        <v>2.1999999999999964E-2</v>
      </c>
      <c r="N10" s="12">
        <f t="shared" si="3"/>
        <v>1.40625</v>
      </c>
      <c r="P10" s="7">
        <v>7</v>
      </c>
      <c r="Q10" s="18">
        <f t="shared" si="4"/>
        <v>0.53528225806451624</v>
      </c>
    </row>
    <row r="11" spans="3:17" x14ac:dyDescent="0.25">
      <c r="C11" s="7">
        <v>8</v>
      </c>
      <c r="D11" s="1">
        <v>675</v>
      </c>
      <c r="E11" s="1">
        <v>1.59</v>
      </c>
      <c r="F11" s="21">
        <f t="shared" si="0"/>
        <v>2.6707375165980429E-2</v>
      </c>
      <c r="G11" s="16">
        <f t="shared" si="5"/>
        <v>0.53399786400854399</v>
      </c>
      <c r="H11" s="12">
        <f t="shared" si="1"/>
        <v>0.84905660377358494</v>
      </c>
      <c r="I11" s="10"/>
      <c r="J11" s="7">
        <v>8</v>
      </c>
      <c r="K11" s="1">
        <v>675</v>
      </c>
      <c r="L11" s="1">
        <v>0.46</v>
      </c>
      <c r="M11" s="2">
        <f t="shared" si="2"/>
        <v>2.0000000000000018E-3</v>
      </c>
      <c r="N11" s="12">
        <f t="shared" si="3"/>
        <v>1.4673913043478259</v>
      </c>
      <c r="P11" s="7">
        <v>8</v>
      </c>
      <c r="Q11" s="18">
        <f t="shared" si="4"/>
        <v>0.618334700574241</v>
      </c>
    </row>
    <row r="12" spans="3:17" x14ac:dyDescent="0.25">
      <c r="C12" s="7">
        <v>9</v>
      </c>
      <c r="D12" s="1">
        <v>675</v>
      </c>
      <c r="E12" s="1">
        <v>1.45</v>
      </c>
      <c r="F12" s="21">
        <f t="shared" si="0"/>
        <v>5.5270503819055294E-2</v>
      </c>
      <c r="G12" s="16">
        <f t="shared" si="5"/>
        <v>0.64209274673008321</v>
      </c>
      <c r="H12" s="12">
        <f t="shared" si="1"/>
        <v>0.93103448275862066</v>
      </c>
      <c r="I12" s="10"/>
      <c r="J12" s="7">
        <v>9</v>
      </c>
      <c r="K12" s="1">
        <v>675</v>
      </c>
      <c r="L12" s="1">
        <v>0.49</v>
      </c>
      <c r="M12" s="2">
        <f t="shared" si="2"/>
        <v>3.1999999999999973E-2</v>
      </c>
      <c r="N12" s="12">
        <f t="shared" si="3"/>
        <v>1.3775510204081634</v>
      </c>
      <c r="P12" s="7">
        <v>9</v>
      </c>
      <c r="Q12" s="18">
        <f t="shared" si="4"/>
        <v>0.44651653764954269</v>
      </c>
    </row>
    <row r="13" spans="3:17" x14ac:dyDescent="0.25">
      <c r="C13" s="7">
        <v>10</v>
      </c>
      <c r="D13" s="1">
        <v>675</v>
      </c>
      <c r="E13" s="1">
        <v>1.51</v>
      </c>
      <c r="F13" s="21">
        <f t="shared" si="0"/>
        <v>1.8275756159772394E-2</v>
      </c>
      <c r="G13" s="16">
        <f t="shared" si="5"/>
        <v>0.59207929476777332</v>
      </c>
      <c r="H13" s="12">
        <f t="shared" si="1"/>
        <v>0.89403973509933776</v>
      </c>
      <c r="I13" s="10"/>
      <c r="J13" s="7">
        <v>10</v>
      </c>
      <c r="K13" s="1">
        <v>675</v>
      </c>
      <c r="L13" s="1">
        <v>0.51</v>
      </c>
      <c r="M13" s="2">
        <f t="shared" si="2"/>
        <v>5.1999999999999991E-2</v>
      </c>
      <c r="N13" s="12">
        <f t="shared" si="3"/>
        <v>1.3235294117647058</v>
      </c>
      <c r="P13" s="7">
        <v>10</v>
      </c>
      <c r="Q13" s="18">
        <f t="shared" si="4"/>
        <v>0.42948967666536808</v>
      </c>
    </row>
    <row r="14" spans="3:17" ht="15.75" thickBot="1" x14ac:dyDescent="0.3">
      <c r="C14" s="8" t="s">
        <v>4</v>
      </c>
      <c r="D14" s="9">
        <v>675</v>
      </c>
      <c r="E14" s="9">
        <f>AVERAGE(E4:E13)</f>
        <v>1.5760000000000001</v>
      </c>
      <c r="F14" s="9">
        <f>AVERAGE(F4:F13)</f>
        <v>4.0623583683072173E-2</v>
      </c>
      <c r="G14" s="14">
        <f>AVERAGE(G4:G13)</f>
        <v>0.5556878038956633</v>
      </c>
      <c r="H14" s="13">
        <f t="shared" si="1"/>
        <v>0.87576397893956537</v>
      </c>
      <c r="I14" s="10"/>
      <c r="J14" s="8" t="s">
        <v>4</v>
      </c>
      <c r="K14" s="9">
        <v>675</v>
      </c>
      <c r="L14" s="9">
        <f>AVERAGE(L4:L13)</f>
        <v>0.45800000000000002</v>
      </c>
      <c r="M14" s="9">
        <f>AVERAGE(M4:M13)</f>
        <v>2.5999999999999995E-2</v>
      </c>
      <c r="N14" s="13">
        <f t="shared" si="3"/>
        <v>1.4737991266375545</v>
      </c>
      <c r="P14" s="8" t="s">
        <v>4</v>
      </c>
      <c r="Q14" s="19">
        <f t="shared" si="4"/>
        <v>0.59803514769798916</v>
      </c>
    </row>
    <row r="15" spans="3:17" ht="15.75" thickTop="1" x14ac:dyDescent="0.25"/>
    <row r="16" spans="3:17" x14ac:dyDescent="0.25">
      <c r="F16" s="20" t="s">
        <v>9</v>
      </c>
      <c r="H16">
        <v>0.1</v>
      </c>
    </row>
    <row r="17" spans="7:12" x14ac:dyDescent="0.25">
      <c r="H17">
        <v>0</v>
      </c>
      <c r="L17">
        <f>E4</f>
        <v>1.57</v>
      </c>
    </row>
    <row r="18" spans="7:12" x14ac:dyDescent="0.25">
      <c r="H18">
        <v>0.2</v>
      </c>
    </row>
    <row r="19" spans="7:12" x14ac:dyDescent="0.25">
      <c r="G19" t="e" cm="1">
        <f t="array" ref="G19">abs</f>
        <v>#NAME?</v>
      </c>
      <c r="H19">
        <v>0</v>
      </c>
    </row>
    <row r="20" spans="7:12" x14ac:dyDescent="0.25">
      <c r="H20">
        <v>0</v>
      </c>
    </row>
    <row r="21" spans="7:12" x14ac:dyDescent="0.25">
      <c r="H21">
        <v>0.1</v>
      </c>
    </row>
    <row r="22" spans="7:12" x14ac:dyDescent="0.25">
      <c r="H22">
        <v>0.1</v>
      </c>
      <c r="J22">
        <f>AVERAGE(H16:H25)</f>
        <v>0.08</v>
      </c>
    </row>
    <row r="23" spans="7:12" x14ac:dyDescent="0.25">
      <c r="H23">
        <v>0</v>
      </c>
    </row>
    <row r="24" spans="7:12" x14ac:dyDescent="0.25">
      <c r="H24">
        <v>0.1</v>
      </c>
    </row>
    <row r="25" spans="7:12" x14ac:dyDescent="0.25">
      <c r="H25">
        <v>0.2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Tomaš Podpleský</dc:creator>
  <cp:keywords/>
  <dc:description/>
  <cp:lastModifiedBy>Tomaš Podpleský</cp:lastModifiedBy>
  <cp:revision/>
  <dcterms:created xsi:type="dcterms:W3CDTF">2024-04-01T18:30:16Z</dcterms:created>
  <dcterms:modified xsi:type="dcterms:W3CDTF">2024-04-02T20:58:05Z</dcterms:modified>
  <cp:category/>
  <cp:contentStatus/>
</cp:coreProperties>
</file>