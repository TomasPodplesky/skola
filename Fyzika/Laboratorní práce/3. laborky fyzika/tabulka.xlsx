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dpl\Desktop\škola\fyzika\3. laborky fyzika\"/>
    </mc:Choice>
  </mc:AlternateContent>
  <xr:revisionPtr revIDLastSave="0" documentId="8_{E503425F-2DF3-4F0A-B0F6-4D3363FF0B31}" xr6:coauthVersionLast="47" xr6:coauthVersionMax="47" xr10:uidLastSave="{00000000-0000-0000-0000-000000000000}"/>
  <bookViews>
    <workbookView xWindow="22932" yWindow="480" windowWidth="23256" windowHeight="12456" xr2:uid="{3611D342-C70F-4FFF-AC5E-636F3F1C70B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J13" i="1"/>
  <c r="J11" i="1"/>
  <c r="J4" i="1"/>
  <c r="J5" i="1"/>
  <c r="J6" i="1"/>
  <c r="J7" i="1"/>
  <c r="J8" i="1"/>
  <c r="J9" i="1"/>
  <c r="J10" i="1"/>
  <c r="J12" i="1"/>
  <c r="J3" i="1"/>
  <c r="G13" i="1"/>
  <c r="H13" i="1"/>
  <c r="I13" i="1"/>
  <c r="I12" i="1"/>
  <c r="I4" i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E15" i="1"/>
  <c r="C15" i="1"/>
  <c r="F13" i="1"/>
  <c r="F4" i="1"/>
  <c r="F5" i="1"/>
  <c r="F6" i="1"/>
  <c r="F7" i="1"/>
  <c r="F8" i="1"/>
  <c r="F9" i="1"/>
  <c r="F10" i="1"/>
  <c r="F11" i="1"/>
  <c r="F12" i="1"/>
  <c r="F3" i="1"/>
  <c r="E13" i="1"/>
  <c r="D13" i="1"/>
  <c r="D4" i="1"/>
  <c r="D5" i="1"/>
  <c r="D6" i="1"/>
  <c r="D7" i="1"/>
  <c r="D8" i="1"/>
  <c r="D9" i="1"/>
  <c r="D10" i="1"/>
  <c r="D11" i="1"/>
  <c r="D12" i="1"/>
  <c r="D3" i="1"/>
  <c r="C13" i="1"/>
</calcChain>
</file>

<file path=xl/sharedStrings.xml><?xml version="1.0" encoding="utf-8"?>
<sst xmlns="http://schemas.openxmlformats.org/spreadsheetml/2006/main" count="12" uniqueCount="12">
  <si>
    <t>měření baterie</t>
  </si>
  <si>
    <t>průměr</t>
  </si>
  <si>
    <t>chyba objemu</t>
  </si>
  <si>
    <t>chyba hmotnosti</t>
  </si>
  <si>
    <t xml:space="preserve">relativní chyba </t>
  </si>
  <si>
    <t>chyba při měření</t>
  </si>
  <si>
    <t>V/cm3</t>
  </si>
  <si>
    <t>V/m3</t>
  </si>
  <si>
    <t>m/kg</t>
  </si>
  <si>
    <t>m/g</t>
  </si>
  <si>
    <t>hustota/kg/m3</t>
  </si>
  <si>
    <t>abs chyba hustoty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</si>
</sst>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86" formatCode="0.000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>
      <left/>
      <right style="medium">
        <color rgb="FFFFFF00"/>
      </right>
      <top/>
      <bottom/>
      <diagonal/>
    </border>
    <border>
      <left style="medium">
        <color rgb="FFFFFF00"/>
      </left>
      <right style="medium">
        <color rgb="FFFFFF00"/>
      </right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5" fontId="0" fillId="2" borderId="3" xfId="1" applyNumberFormat="1" applyFont="1" applyFill="1" applyBorder="1" applyAlignment="1">
      <alignment horizontal="center"/>
    </xf>
    <xf numFmtId="165" fontId="0" fillId="2" borderId="2" xfId="1" applyNumberFormat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86" fontId="0" fillId="2" borderId="6" xfId="0" applyNumberFormat="1" applyFill="1" applyBorder="1" applyAlignment="1">
      <alignment horizontal="center"/>
    </xf>
    <xf numFmtId="186" fontId="0" fillId="2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86" fontId="0" fillId="3" borderId="2" xfId="0" applyNumberFormat="1" applyFill="1" applyBorder="1" applyAlignment="1">
      <alignment horizontal="center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70F0-E628-4DB6-BC8A-7ADF50EF5BD1}">
  <dimension ref="B1:J16"/>
  <sheetViews>
    <sheetView tabSelected="1" workbookViewId="0">
      <selection activeCell="K5" sqref="K5"/>
    </sheetView>
  </sheetViews>
  <sheetFormatPr defaultRowHeight="15" x14ac:dyDescent="0.25"/>
  <cols>
    <col min="2" max="9" width="11.28515625" customWidth="1"/>
    <col min="10" max="10" width="11" bestFit="1" customWidth="1"/>
  </cols>
  <sheetData>
    <row r="1" spans="2:10" ht="15.75" thickBot="1" x14ac:dyDescent="0.3"/>
    <row r="2" spans="2:10" ht="16.5" thickTop="1" thickBot="1" x14ac:dyDescent="0.3">
      <c r="B2" s="1" t="s">
        <v>0</v>
      </c>
      <c r="C2" s="1" t="s">
        <v>6</v>
      </c>
      <c r="D2" s="1" t="s">
        <v>2</v>
      </c>
      <c r="E2" s="1" t="s">
        <v>9</v>
      </c>
      <c r="F2" s="1" t="s">
        <v>3</v>
      </c>
      <c r="G2" s="1" t="s">
        <v>7</v>
      </c>
      <c r="H2" s="1" t="s">
        <v>8</v>
      </c>
      <c r="I2" s="1" t="s">
        <v>10</v>
      </c>
      <c r="J2" s="14" t="s">
        <v>11</v>
      </c>
    </row>
    <row r="3" spans="2:10" ht="16.5" thickTop="1" thickBot="1" x14ac:dyDescent="0.3">
      <c r="B3" s="2">
        <v>1</v>
      </c>
      <c r="C3" s="3">
        <v>8.9</v>
      </c>
      <c r="D3" s="4">
        <f>ABS(C3-$C$13)</f>
        <v>2.000000000000135E-2</v>
      </c>
      <c r="E3" s="4">
        <v>24.9</v>
      </c>
      <c r="F3" s="4">
        <f>ABS(E3-$E$13)</f>
        <v>1.9999999999996021E-2</v>
      </c>
      <c r="G3" s="4">
        <f>C3/1000000</f>
        <v>8.9000000000000012E-6</v>
      </c>
      <c r="H3" s="4">
        <f>E3/1000</f>
        <v>2.4899999999999999E-2</v>
      </c>
      <c r="I3" s="15">
        <f>H3/G3</f>
        <v>2797.7528089887637</v>
      </c>
      <c r="J3">
        <f>ABS(I3-$I$13)</f>
        <v>4.1436840313244829</v>
      </c>
    </row>
    <row r="4" spans="2:10" ht="16.5" thickTop="1" thickBot="1" x14ac:dyDescent="0.3">
      <c r="B4" s="1">
        <v>2</v>
      </c>
      <c r="C4" s="5">
        <v>8.9</v>
      </c>
      <c r="D4" s="6">
        <f t="shared" ref="D4:D12" si="0">ABS(C4-$C$13)</f>
        <v>2.000000000000135E-2</v>
      </c>
      <c r="E4" s="6">
        <v>24.9</v>
      </c>
      <c r="F4" s="6">
        <f t="shared" ref="F4:F12" si="1">ABS(E4-$E$13)</f>
        <v>1.9999999999996021E-2</v>
      </c>
      <c r="G4" s="4">
        <f t="shared" ref="G4:G13" si="2">C4/1000000</f>
        <v>8.9000000000000012E-6</v>
      </c>
      <c r="H4" s="4">
        <f t="shared" ref="H4:I13" si="3">E4/1000</f>
        <v>2.4899999999999999E-2</v>
      </c>
      <c r="I4" s="16">
        <f t="shared" ref="I4:I13" si="4">H4/G4</f>
        <v>2797.7528089887637</v>
      </c>
      <c r="J4">
        <f t="shared" ref="J4:J13" si="5">ABS(I4-$I$13)</f>
        <v>4.1436840313244829</v>
      </c>
    </row>
    <row r="5" spans="2:10" ht="16.5" thickTop="1" thickBot="1" x14ac:dyDescent="0.3">
      <c r="B5" s="1">
        <v>3</v>
      </c>
      <c r="C5" s="5">
        <v>8.9</v>
      </c>
      <c r="D5" s="6">
        <f t="shared" si="0"/>
        <v>2.000000000000135E-2</v>
      </c>
      <c r="E5" s="6">
        <v>24.9</v>
      </c>
      <c r="F5" s="6">
        <f t="shared" si="1"/>
        <v>1.9999999999996021E-2</v>
      </c>
      <c r="G5" s="4">
        <f t="shared" si="2"/>
        <v>8.9000000000000012E-6</v>
      </c>
      <c r="H5" s="4">
        <f t="shared" si="3"/>
        <v>2.4899999999999999E-2</v>
      </c>
      <c r="I5" s="16">
        <f t="shared" si="4"/>
        <v>2797.7528089887637</v>
      </c>
      <c r="J5">
        <f t="shared" si="5"/>
        <v>4.1436840313244829</v>
      </c>
    </row>
    <row r="6" spans="2:10" ht="16.5" thickTop="1" thickBot="1" x14ac:dyDescent="0.3">
      <c r="B6" s="1">
        <v>4</v>
      </c>
      <c r="C6" s="5">
        <v>8.8000000000000007</v>
      </c>
      <c r="D6" s="6">
        <f t="shared" si="0"/>
        <v>7.9999999999998295E-2</v>
      </c>
      <c r="E6" s="6">
        <v>24.8</v>
      </c>
      <c r="F6" s="6">
        <f t="shared" si="1"/>
        <v>8.0000000000001847E-2</v>
      </c>
      <c r="G6" s="4">
        <f t="shared" si="2"/>
        <v>8.8000000000000004E-6</v>
      </c>
      <c r="H6" s="4">
        <f t="shared" si="3"/>
        <v>2.4799999999999999E-2</v>
      </c>
      <c r="I6" s="16">
        <f t="shared" si="4"/>
        <v>2818.181818181818</v>
      </c>
      <c r="J6">
        <f t="shared" si="5"/>
        <v>16.285325161729816</v>
      </c>
    </row>
    <row r="7" spans="2:10" ht="16.5" thickTop="1" thickBot="1" x14ac:dyDescent="0.3">
      <c r="B7" s="1">
        <v>5</v>
      </c>
      <c r="C7" s="5">
        <v>8.9</v>
      </c>
      <c r="D7" s="6">
        <f t="shared" si="0"/>
        <v>2.000000000000135E-2</v>
      </c>
      <c r="E7" s="6">
        <v>24.9</v>
      </c>
      <c r="F7" s="6">
        <f t="shared" si="1"/>
        <v>1.9999999999996021E-2</v>
      </c>
      <c r="G7" s="4">
        <f t="shared" si="2"/>
        <v>8.9000000000000012E-6</v>
      </c>
      <c r="H7" s="4">
        <f t="shared" si="3"/>
        <v>2.4899999999999999E-2</v>
      </c>
      <c r="I7" s="16">
        <f t="shared" si="4"/>
        <v>2797.7528089887637</v>
      </c>
      <c r="J7">
        <f t="shared" si="5"/>
        <v>4.1436840313244829</v>
      </c>
    </row>
    <row r="8" spans="2:10" ht="16.5" thickTop="1" thickBot="1" x14ac:dyDescent="0.3">
      <c r="B8" s="1">
        <v>6</v>
      </c>
      <c r="C8" s="5">
        <v>8.9</v>
      </c>
      <c r="D8" s="6">
        <f t="shared" si="0"/>
        <v>2.000000000000135E-2</v>
      </c>
      <c r="E8" s="7">
        <v>25</v>
      </c>
      <c r="F8" s="6">
        <f t="shared" si="1"/>
        <v>0.11999999999999744</v>
      </c>
      <c r="G8" s="4">
        <f t="shared" si="2"/>
        <v>8.9000000000000012E-6</v>
      </c>
      <c r="H8" s="4">
        <f t="shared" si="3"/>
        <v>2.5000000000000001E-2</v>
      </c>
      <c r="I8" s="16">
        <f t="shared" si="4"/>
        <v>2808.9887640449438</v>
      </c>
      <c r="J8">
        <f t="shared" si="5"/>
        <v>7.0922710248555632</v>
      </c>
    </row>
    <row r="9" spans="2:10" ht="16.5" thickTop="1" thickBot="1" x14ac:dyDescent="0.3">
      <c r="B9" s="1">
        <v>7</v>
      </c>
      <c r="C9" s="5">
        <v>8.8000000000000007</v>
      </c>
      <c r="D9" s="6">
        <f t="shared" si="0"/>
        <v>7.9999999999998295E-2</v>
      </c>
      <c r="E9" s="6">
        <v>24.8</v>
      </c>
      <c r="F9" s="6">
        <f t="shared" si="1"/>
        <v>8.0000000000001847E-2</v>
      </c>
      <c r="G9" s="4">
        <f t="shared" si="2"/>
        <v>8.8000000000000004E-6</v>
      </c>
      <c r="H9" s="4">
        <f t="shared" si="3"/>
        <v>2.4799999999999999E-2</v>
      </c>
      <c r="I9" s="16">
        <f t="shared" si="4"/>
        <v>2818.181818181818</v>
      </c>
      <c r="J9">
        <f t="shared" si="5"/>
        <v>16.285325161729816</v>
      </c>
    </row>
    <row r="10" spans="2:10" ht="16.5" thickTop="1" thickBot="1" x14ac:dyDescent="0.3">
      <c r="B10" s="1">
        <v>8</v>
      </c>
      <c r="C10" s="5">
        <v>8.8000000000000007</v>
      </c>
      <c r="D10" s="6">
        <f t="shared" si="0"/>
        <v>7.9999999999998295E-2</v>
      </c>
      <c r="E10" s="6">
        <v>24.8</v>
      </c>
      <c r="F10" s="6">
        <f t="shared" si="1"/>
        <v>8.0000000000001847E-2</v>
      </c>
      <c r="G10" s="4">
        <f t="shared" si="2"/>
        <v>8.8000000000000004E-6</v>
      </c>
      <c r="H10" s="4">
        <f t="shared" si="3"/>
        <v>2.4799999999999999E-2</v>
      </c>
      <c r="I10" s="16">
        <f t="shared" si="4"/>
        <v>2818.181818181818</v>
      </c>
      <c r="J10">
        <f t="shared" si="5"/>
        <v>16.285325161729816</v>
      </c>
    </row>
    <row r="11" spans="2:10" ht="16.5" thickTop="1" thickBot="1" x14ac:dyDescent="0.3">
      <c r="B11" s="1">
        <v>9</v>
      </c>
      <c r="C11" s="5">
        <v>9</v>
      </c>
      <c r="D11" s="6">
        <f t="shared" si="0"/>
        <v>0.12000000000000099</v>
      </c>
      <c r="E11" s="6">
        <v>24.9</v>
      </c>
      <c r="F11" s="6">
        <f t="shared" si="1"/>
        <v>1.9999999999996021E-2</v>
      </c>
      <c r="G11" s="4">
        <f t="shared" si="2"/>
        <v>9.0000000000000002E-6</v>
      </c>
      <c r="H11" s="4">
        <f t="shared" si="3"/>
        <v>2.4899999999999999E-2</v>
      </c>
      <c r="I11" s="16">
        <f t="shared" si="4"/>
        <v>2766.6666666666665</v>
      </c>
      <c r="J11">
        <f>ABS(I11-$I$13)</f>
        <v>35.229826353421686</v>
      </c>
    </row>
    <row r="12" spans="2:10" ht="16.5" thickTop="1" thickBot="1" x14ac:dyDescent="0.3">
      <c r="B12" s="1">
        <v>10</v>
      </c>
      <c r="C12" s="5">
        <v>8.9</v>
      </c>
      <c r="D12" s="6">
        <f t="shared" si="0"/>
        <v>2.000000000000135E-2</v>
      </c>
      <c r="E12" s="6">
        <v>24.9</v>
      </c>
      <c r="F12" s="6">
        <f t="shared" si="1"/>
        <v>1.9999999999996021E-2</v>
      </c>
      <c r="G12" s="4">
        <f t="shared" si="2"/>
        <v>8.9000000000000012E-6</v>
      </c>
      <c r="H12" s="4">
        <f t="shared" si="3"/>
        <v>2.4899999999999999E-2</v>
      </c>
      <c r="I12" s="16">
        <f t="shared" si="4"/>
        <v>2797.7528089887637</v>
      </c>
      <c r="J12">
        <f t="shared" si="5"/>
        <v>4.1436840313244829</v>
      </c>
    </row>
    <row r="13" spans="2:10" ht="16.5" thickTop="1" thickBot="1" x14ac:dyDescent="0.3">
      <c r="B13" s="1" t="s">
        <v>1</v>
      </c>
      <c r="C13" s="17">
        <f>AVERAGE(C3:C12)</f>
        <v>8.879999999999999</v>
      </c>
      <c r="D13" s="18">
        <f>AVERAGE(D3:D12)</f>
        <v>4.8000000000000397E-2</v>
      </c>
      <c r="E13" s="18">
        <f>AVERAGE(E3:E12)</f>
        <v>24.880000000000003</v>
      </c>
      <c r="F13" s="18">
        <f>AVERAGE(F3:F12)</f>
        <v>4.7999999999997912E-2</v>
      </c>
      <c r="G13" s="18">
        <f t="shared" ref="G13:J15" si="6">AVERAGE(G3:G12)</f>
        <v>8.8799999999999997E-6</v>
      </c>
      <c r="H13" s="18">
        <f t="shared" si="6"/>
        <v>2.4879999999999996E-2</v>
      </c>
      <c r="I13" s="19">
        <f t="shared" si="6"/>
        <v>2801.8964930200882</v>
      </c>
      <c r="J13" s="19">
        <f t="shared" si="6"/>
        <v>11.189649302008911</v>
      </c>
    </row>
    <row r="14" spans="2:10" ht="16.5" thickTop="1" thickBot="1" x14ac:dyDescent="0.3">
      <c r="B14" s="9" t="s">
        <v>5</v>
      </c>
      <c r="C14" s="10">
        <v>0.1</v>
      </c>
      <c r="D14" s="8"/>
      <c r="E14" s="11">
        <v>0.1</v>
      </c>
      <c r="F14" s="8"/>
      <c r="G14" s="11"/>
      <c r="H14" s="6"/>
      <c r="I14" s="6"/>
    </row>
    <row r="15" spans="2:10" ht="16.5" thickTop="1" thickBot="1" x14ac:dyDescent="0.3">
      <c r="B15" s="9" t="s">
        <v>4</v>
      </c>
      <c r="C15" s="12">
        <f>D13/C13</f>
        <v>5.4054054054054508E-3</v>
      </c>
      <c r="D15" s="13"/>
      <c r="E15" s="13">
        <f>F13/E13</f>
        <v>1.9292604501606875E-3</v>
      </c>
      <c r="F15" s="13"/>
      <c r="G15" s="13"/>
      <c r="H15" s="6"/>
      <c r="I15" s="13">
        <f>J13/I13</f>
        <v>3.9935983823399168E-3</v>
      </c>
    </row>
    <row r="16" spans="2:10" ht="15.75" thickTop="1" x14ac:dyDescent="0.25"/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Podpleský</dc:creator>
  <cp:lastModifiedBy>Tomáš Podpleský</cp:lastModifiedBy>
  <dcterms:created xsi:type="dcterms:W3CDTF">2024-06-17T16:36:12Z</dcterms:created>
  <dcterms:modified xsi:type="dcterms:W3CDTF">2024-06-17T18:49:13Z</dcterms:modified>
</cp:coreProperties>
</file>